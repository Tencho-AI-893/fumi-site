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&quot;月&quot;d&quot;日&quot;(aaa)"/>
    <numFmt numFmtId="165" formatCode="#,##0;[Red]-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double"/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pivotButton="0" quotePrefix="0" xfId="0"/>
    <xf numFmtId="165" fontId="0" fillId="0" borderId="1" pivotButton="0" quotePrefix="0" xfId="0"/>
    <xf numFmtId="0" fontId="2" fillId="4" borderId="2" applyAlignment="1" pivotButton="0" quotePrefix="0" xfId="0">
      <alignment horizontal="center"/>
    </xf>
    <xf numFmtId="165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月報</t>
        </is>
      </c>
    </row>
    <row r="2">
      <c r="A2" s="2" t="inlineStr">
        <is>
          <t>対象年</t>
        </is>
      </c>
      <c r="B2" s="3" t="n">
        <v>2026</v>
      </c>
      <c r="C2" s="2" t="inlineStr">
        <is>
          <t>対象月</t>
        </is>
      </c>
      <c r="D2" s="3" t="n">
        <v>10</v>
      </c>
      <c r="F2" s="4" t="inlineStr">
        <is>
          <t>※黄色いマスだけ入力。年・月を変えると日付が自動で変わります</t>
        </is>
      </c>
    </row>
    <row r="4">
      <c r="A4" s="5" t="inlineStr">
        <is>
          <t>日時</t>
        </is>
      </c>
      <c r="B4" s="5" t="inlineStr">
        <is>
          <t>売上</t>
        </is>
      </c>
      <c r="C4" s="5" t="inlineStr">
        <is>
          <t>経費</t>
        </is>
      </c>
      <c r="D4" s="5" t="inlineStr">
        <is>
          <t>合計（売上−経費）</t>
        </is>
      </c>
    </row>
    <row r="5">
      <c r="A5" s="6">
        <f>IF(MONTH(DATE($B$2,$D$2,1))=$D$2,DATE($B$2,$D$2,1),"")</f>
        <v/>
      </c>
      <c r="B5" s="7" t="n"/>
      <c r="C5" s="7" t="n"/>
      <c r="D5" s="8">
        <f>IF(A5="","",B5-C5)</f>
        <v/>
      </c>
    </row>
    <row r="6">
      <c r="A6" s="6">
        <f>IF(MONTH(DATE($B$2,$D$2,2))=$D$2,DATE($B$2,$D$2,2),"")</f>
        <v/>
      </c>
      <c r="B6" s="7" t="n"/>
      <c r="C6" s="7" t="n"/>
      <c r="D6" s="8">
        <f>IF(A6="","",B6-C6)</f>
        <v/>
      </c>
    </row>
    <row r="7">
      <c r="A7" s="6">
        <f>IF(MONTH(DATE($B$2,$D$2,3))=$D$2,DATE($B$2,$D$2,3),"")</f>
        <v/>
      </c>
      <c r="B7" s="7" t="n"/>
      <c r="C7" s="7" t="n"/>
      <c r="D7" s="8">
        <f>IF(A7="","",B7-C7)</f>
        <v/>
      </c>
    </row>
    <row r="8">
      <c r="A8" s="6">
        <f>IF(MONTH(DATE($B$2,$D$2,4))=$D$2,DATE($B$2,$D$2,4),"")</f>
        <v/>
      </c>
      <c r="B8" s="7" t="n"/>
      <c r="C8" s="7" t="n"/>
      <c r="D8" s="8">
        <f>IF(A8="","",B8-C8)</f>
        <v/>
      </c>
    </row>
    <row r="9">
      <c r="A9" s="6">
        <f>IF(MONTH(DATE($B$2,$D$2,5))=$D$2,DATE($B$2,$D$2,5),"")</f>
        <v/>
      </c>
      <c r="B9" s="7" t="n"/>
      <c r="C9" s="7" t="n"/>
      <c r="D9" s="8">
        <f>IF(A9="","",B9-C9)</f>
        <v/>
      </c>
    </row>
    <row r="10">
      <c r="A10" s="6">
        <f>IF(MONTH(DATE($B$2,$D$2,6))=$D$2,DATE($B$2,$D$2,6),"")</f>
        <v/>
      </c>
      <c r="B10" s="7" t="n"/>
      <c r="C10" s="7" t="n"/>
      <c r="D10" s="8">
        <f>IF(A10="","",B10-C10)</f>
        <v/>
      </c>
    </row>
    <row r="11">
      <c r="A11" s="6">
        <f>IF(MONTH(DATE($B$2,$D$2,7))=$D$2,DATE($B$2,$D$2,7),"")</f>
        <v/>
      </c>
      <c r="B11" s="7" t="n"/>
      <c r="C11" s="7" t="n"/>
      <c r="D11" s="8">
        <f>IF(A11="","",B11-C11)</f>
        <v/>
      </c>
    </row>
    <row r="12">
      <c r="A12" s="6">
        <f>IF(MONTH(DATE($B$2,$D$2,8))=$D$2,DATE($B$2,$D$2,8),"")</f>
        <v/>
      </c>
      <c r="B12" s="7" t="n"/>
      <c r="C12" s="7" t="n"/>
      <c r="D12" s="8">
        <f>IF(A12="","",B12-C12)</f>
        <v/>
      </c>
    </row>
    <row r="13">
      <c r="A13" s="6">
        <f>IF(MONTH(DATE($B$2,$D$2,9))=$D$2,DATE($B$2,$D$2,9),"")</f>
        <v/>
      </c>
      <c r="B13" s="7" t="n"/>
      <c r="C13" s="7" t="n"/>
      <c r="D13" s="8">
        <f>IF(A13="","",B13-C13)</f>
        <v/>
      </c>
    </row>
    <row r="14">
      <c r="A14" s="6">
        <f>IF(MONTH(DATE($B$2,$D$2,10))=$D$2,DATE($B$2,$D$2,10),"")</f>
        <v/>
      </c>
      <c r="B14" s="7" t="n"/>
      <c r="C14" s="7" t="n"/>
      <c r="D14" s="8">
        <f>IF(A14="","",B14-C14)</f>
        <v/>
      </c>
    </row>
    <row r="15">
      <c r="A15" s="6">
        <f>IF(MONTH(DATE($B$2,$D$2,11))=$D$2,DATE($B$2,$D$2,11),"")</f>
        <v/>
      </c>
      <c r="B15" s="7" t="n"/>
      <c r="C15" s="7" t="n"/>
      <c r="D15" s="8">
        <f>IF(A15="","",B15-C15)</f>
        <v/>
      </c>
    </row>
    <row r="16">
      <c r="A16" s="6">
        <f>IF(MONTH(DATE($B$2,$D$2,12))=$D$2,DATE($B$2,$D$2,12),"")</f>
        <v/>
      </c>
      <c r="B16" s="7" t="n"/>
      <c r="C16" s="7" t="n"/>
      <c r="D16" s="8">
        <f>IF(A16="","",B16-C16)</f>
        <v/>
      </c>
    </row>
    <row r="17">
      <c r="A17" s="6">
        <f>IF(MONTH(DATE($B$2,$D$2,13))=$D$2,DATE($B$2,$D$2,13),"")</f>
        <v/>
      </c>
      <c r="B17" s="7" t="n"/>
      <c r="C17" s="7" t="n"/>
      <c r="D17" s="8">
        <f>IF(A17="","",B17-C17)</f>
        <v/>
      </c>
    </row>
    <row r="18">
      <c r="A18" s="6">
        <f>IF(MONTH(DATE($B$2,$D$2,14))=$D$2,DATE($B$2,$D$2,14),"")</f>
        <v/>
      </c>
      <c r="B18" s="7" t="n"/>
      <c r="C18" s="7" t="n"/>
      <c r="D18" s="8">
        <f>IF(A18="","",B18-C18)</f>
        <v/>
      </c>
    </row>
    <row r="19">
      <c r="A19" s="6">
        <f>IF(MONTH(DATE($B$2,$D$2,15))=$D$2,DATE($B$2,$D$2,15),"")</f>
        <v/>
      </c>
      <c r="B19" s="7" t="n"/>
      <c r="C19" s="7" t="n"/>
      <c r="D19" s="8">
        <f>IF(A19="","",B19-C19)</f>
        <v/>
      </c>
    </row>
    <row r="20">
      <c r="A20" s="6">
        <f>IF(MONTH(DATE($B$2,$D$2,16))=$D$2,DATE($B$2,$D$2,16),"")</f>
        <v/>
      </c>
      <c r="B20" s="7" t="n"/>
      <c r="C20" s="7" t="n"/>
      <c r="D20" s="8">
        <f>IF(A20="","",B20-C20)</f>
        <v/>
      </c>
    </row>
    <row r="21">
      <c r="A21" s="6">
        <f>IF(MONTH(DATE($B$2,$D$2,17))=$D$2,DATE($B$2,$D$2,17),"")</f>
        <v/>
      </c>
      <c r="B21" s="7" t="n"/>
      <c r="C21" s="7" t="n"/>
      <c r="D21" s="8">
        <f>IF(A21="","",B21-C21)</f>
        <v/>
      </c>
    </row>
    <row r="22">
      <c r="A22" s="6">
        <f>IF(MONTH(DATE($B$2,$D$2,18))=$D$2,DATE($B$2,$D$2,18),"")</f>
        <v/>
      </c>
      <c r="B22" s="7" t="n"/>
      <c r="C22" s="7" t="n"/>
      <c r="D22" s="8">
        <f>IF(A22="","",B22-C22)</f>
        <v/>
      </c>
    </row>
    <row r="23">
      <c r="A23" s="6">
        <f>IF(MONTH(DATE($B$2,$D$2,19))=$D$2,DATE($B$2,$D$2,19),"")</f>
        <v/>
      </c>
      <c r="B23" s="7" t="n"/>
      <c r="C23" s="7" t="n"/>
      <c r="D23" s="8">
        <f>IF(A23="","",B23-C23)</f>
        <v/>
      </c>
    </row>
    <row r="24">
      <c r="A24" s="6">
        <f>IF(MONTH(DATE($B$2,$D$2,20))=$D$2,DATE($B$2,$D$2,20),"")</f>
        <v/>
      </c>
      <c r="B24" s="7" t="n"/>
      <c r="C24" s="7" t="n"/>
      <c r="D24" s="8">
        <f>IF(A24="","",B24-C24)</f>
        <v/>
      </c>
    </row>
    <row r="25">
      <c r="A25" s="6">
        <f>IF(MONTH(DATE($B$2,$D$2,21))=$D$2,DATE($B$2,$D$2,21),"")</f>
        <v/>
      </c>
      <c r="B25" s="7" t="n"/>
      <c r="C25" s="7" t="n"/>
      <c r="D25" s="8">
        <f>IF(A25="","",B25-C25)</f>
        <v/>
      </c>
    </row>
    <row r="26">
      <c r="A26" s="6">
        <f>IF(MONTH(DATE($B$2,$D$2,22))=$D$2,DATE($B$2,$D$2,22),"")</f>
        <v/>
      </c>
      <c r="B26" s="7" t="n"/>
      <c r="C26" s="7" t="n"/>
      <c r="D26" s="8">
        <f>IF(A26="","",B26-C26)</f>
        <v/>
      </c>
    </row>
    <row r="27">
      <c r="A27" s="6">
        <f>IF(MONTH(DATE($B$2,$D$2,23))=$D$2,DATE($B$2,$D$2,23),"")</f>
        <v/>
      </c>
      <c r="B27" s="7" t="n"/>
      <c r="C27" s="7" t="n"/>
      <c r="D27" s="8">
        <f>IF(A27="","",B27-C27)</f>
        <v/>
      </c>
    </row>
    <row r="28">
      <c r="A28" s="6">
        <f>IF(MONTH(DATE($B$2,$D$2,24))=$D$2,DATE($B$2,$D$2,24),"")</f>
        <v/>
      </c>
      <c r="B28" s="7" t="n"/>
      <c r="C28" s="7" t="n"/>
      <c r="D28" s="8">
        <f>IF(A28="","",B28-C28)</f>
        <v/>
      </c>
    </row>
    <row r="29">
      <c r="A29" s="6">
        <f>IF(MONTH(DATE($B$2,$D$2,25))=$D$2,DATE($B$2,$D$2,25),"")</f>
        <v/>
      </c>
      <c r="B29" s="7" t="n"/>
      <c r="C29" s="7" t="n"/>
      <c r="D29" s="8">
        <f>IF(A29="","",B29-C29)</f>
        <v/>
      </c>
    </row>
    <row r="30">
      <c r="A30" s="6">
        <f>IF(MONTH(DATE($B$2,$D$2,26))=$D$2,DATE($B$2,$D$2,26),"")</f>
        <v/>
      </c>
      <c r="B30" s="7" t="n"/>
      <c r="C30" s="7" t="n"/>
      <c r="D30" s="8">
        <f>IF(A30="","",B30-C30)</f>
        <v/>
      </c>
    </row>
    <row r="31">
      <c r="A31" s="6">
        <f>IF(MONTH(DATE($B$2,$D$2,27))=$D$2,DATE($B$2,$D$2,27),"")</f>
        <v/>
      </c>
      <c r="B31" s="7" t="n"/>
      <c r="C31" s="7" t="n"/>
      <c r="D31" s="8">
        <f>IF(A31="","",B31-C31)</f>
        <v/>
      </c>
    </row>
    <row r="32">
      <c r="A32" s="6">
        <f>IF(MONTH(DATE($B$2,$D$2,28))=$D$2,DATE($B$2,$D$2,28),"")</f>
        <v/>
      </c>
      <c r="B32" s="7" t="n"/>
      <c r="C32" s="7" t="n"/>
      <c r="D32" s="8">
        <f>IF(A32="","",B32-C32)</f>
        <v/>
      </c>
    </row>
    <row r="33">
      <c r="A33" s="6">
        <f>IF(MONTH(DATE($B$2,$D$2,29))=$D$2,DATE($B$2,$D$2,29),"")</f>
        <v/>
      </c>
      <c r="B33" s="7" t="n"/>
      <c r="C33" s="7" t="n"/>
      <c r="D33" s="8">
        <f>IF(A33="","",B33-C33)</f>
        <v/>
      </c>
    </row>
    <row r="34">
      <c r="A34" s="6">
        <f>IF(MONTH(DATE($B$2,$D$2,30))=$D$2,DATE($B$2,$D$2,30),"")</f>
        <v/>
      </c>
      <c r="B34" s="7" t="n"/>
      <c r="C34" s="7" t="n"/>
      <c r="D34" s="8">
        <f>IF(A34="","",B34-C34)</f>
        <v/>
      </c>
    </row>
    <row r="35">
      <c r="A35" s="6">
        <f>IF(MONTH(DATE($B$2,$D$2,31))=$D$2,DATE($B$2,$D$2,31),"")</f>
        <v/>
      </c>
      <c r="B35" s="7" t="n"/>
      <c r="C35" s="7" t="n"/>
      <c r="D35" s="8">
        <f>IF(A35="","",B35-C35)</f>
        <v/>
      </c>
    </row>
    <row r="36">
      <c r="A36" s="9" t="inlineStr">
        <is>
          <t>月合計</t>
        </is>
      </c>
      <c r="B36" s="10">
        <f>SUM(B5:B35)</f>
        <v/>
      </c>
      <c r="C36" s="10">
        <f>SUM(C5:C35)</f>
        <v/>
      </c>
      <c r="D36" s="10">
        <f>SUM(D5:D35)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2026-10-10T13:06:26Z</dcterms:created>
  <dcterms:modified xmlns:dcterms="http://purl.org/dc/terms/" xmlns:xsi="http://www.w3.org/2001/XMLSchema-instance" xsi:type="dcterms:W3CDTF">2026-10-10T13:06:26Z</dcterms:modified>
</cp:coreProperties>
</file>